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6B35"/>
      <sz val="12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b val="1"/>
      <color rgb="001A1A2E"/>
      <sz val="12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6B35"/>
        <bgColor rgb="00FF6B35"/>
      </patternFill>
    </fill>
    <fill>
      <patternFill patternType="solid">
        <fgColor rgb="00D6EAF8"/>
        <bgColor rgb="00D6EAF8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B59B6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5" customHeight="1">
      <c r="A1" s="1" t="inlineStr">
        <is>
          <t>KEYWORD ROI CALCULATOR</t>
        </is>
      </c>
    </row>
    <row r="3">
      <c r="A3" s="2" t="inlineStr">
        <is>
          <t>KEYWORD DATA (fill in rows)</t>
        </is>
      </c>
    </row>
    <row r="4">
      <c r="A4" s="3" t="inlineStr">
        <is>
          <t>Keyword</t>
        </is>
      </c>
      <c r="B4" s="3" t="inlineStr">
        <is>
          <t>Match</t>
        </is>
      </c>
      <c r="C4" s="3" t="inlineStr">
        <is>
          <t>Impressions</t>
        </is>
      </c>
      <c r="D4" s="3" t="inlineStr">
        <is>
          <t>Clicks</t>
        </is>
      </c>
      <c r="E4" s="3" t="inlineStr">
        <is>
          <t>CTR</t>
        </is>
      </c>
      <c r="F4" s="3" t="inlineStr">
        <is>
          <t>Orders</t>
        </is>
      </c>
      <c r="G4" s="3" t="inlineStr">
        <is>
          <t>CVR</t>
        </is>
      </c>
      <c r="H4" s="3" t="inlineStr">
        <is>
          <t>Spend</t>
        </is>
      </c>
      <c r="I4" s="3" t="inlineStr">
        <is>
          <t>Revenue</t>
        </is>
      </c>
      <c r="J4" s="3" t="inlineStr">
        <is>
          <t>ACoS</t>
        </is>
      </c>
      <c r="K4" s="3" t="inlineStr">
        <is>
          <t>Action</t>
        </is>
      </c>
    </row>
    <row r="5">
      <c r="A5" s="4" t="n"/>
      <c r="B5" s="4" t="n"/>
      <c r="C5" s="5" t="inlineStr"/>
      <c r="D5" s="5" t="inlineStr"/>
      <c r="E5" s="6">
        <f>IF(C5&gt;0,D5/C5,0)</f>
        <v/>
      </c>
      <c r="F5" s="5" t="inlineStr"/>
      <c r="G5" s="6">
        <f>IF(D5&gt;0,F5/D5,0)</f>
        <v/>
      </c>
      <c r="H5" s="5" t="inlineStr"/>
      <c r="J5" s="7">
        <f>IF(I5&gt;0,H5/I5,0)</f>
        <v/>
      </c>
      <c r="K5" s="4">
        <f>IF(AND(G5&gt;0.05,H5&gt;0),IF(J5&lt;0.3,"HARVEST",IF(J5&lt;0.7,"OPTIMIZE","NEGATE"),"INSUFFICIENT DATA")</f>
        <v/>
      </c>
    </row>
    <row r="6">
      <c r="A6" s="4" t="n"/>
      <c r="B6" s="4" t="n"/>
      <c r="C6" s="5" t="inlineStr"/>
      <c r="D6" s="5" t="inlineStr"/>
      <c r="E6" s="6">
        <f>IF(C6&gt;0,D6/C6,0)</f>
        <v/>
      </c>
      <c r="F6" s="5" t="inlineStr"/>
      <c r="G6" s="6">
        <f>IF(D6&gt;0,F6/D6,0)</f>
        <v/>
      </c>
      <c r="H6" s="5" t="inlineStr"/>
      <c r="J6" s="7">
        <f>IF(I6&gt;0,H6/I6,0)</f>
        <v/>
      </c>
      <c r="K6" s="4">
        <f>IF(AND(G6&gt;0.05,H6&gt;0),IF(J6&lt;0.3,"HARVEST",IF(J6&lt;0.7,"OPTIMIZE","NEGATE"),"INSUFFICIENT DATA")</f>
        <v/>
      </c>
    </row>
    <row r="7">
      <c r="A7" s="4" t="n"/>
      <c r="B7" s="4" t="n"/>
      <c r="C7" s="5" t="inlineStr"/>
      <c r="D7" s="5" t="inlineStr"/>
      <c r="E7" s="6">
        <f>IF(C7&gt;0,D7/C7,0)</f>
        <v/>
      </c>
      <c r="F7" s="5" t="inlineStr"/>
      <c r="G7" s="6">
        <f>IF(D7&gt;0,F7/D7,0)</f>
        <v/>
      </c>
      <c r="H7" s="5" t="inlineStr"/>
      <c r="J7" s="7">
        <f>IF(I7&gt;0,H7/I7,0)</f>
        <v/>
      </c>
      <c r="K7" s="4">
        <f>IF(AND(G7&gt;0.05,H7&gt;0),IF(J7&lt;0.3,"HARVEST",IF(J7&lt;0.7,"OPTIMIZE","NEGATE"),"INSUFFICIENT DATA")</f>
        <v/>
      </c>
    </row>
    <row r="8">
      <c r="A8" s="4" t="n"/>
      <c r="B8" s="4" t="n"/>
      <c r="C8" s="5" t="inlineStr"/>
      <c r="D8" s="5" t="inlineStr"/>
      <c r="E8" s="6">
        <f>IF(C8&gt;0,D8/C8,0)</f>
        <v/>
      </c>
      <c r="F8" s="5" t="inlineStr"/>
      <c r="G8" s="6">
        <f>IF(D8&gt;0,F8/D8,0)</f>
        <v/>
      </c>
      <c r="H8" s="5" t="inlineStr"/>
      <c r="J8" s="7">
        <f>IF(I8&gt;0,H8/I8,0)</f>
        <v/>
      </c>
      <c r="K8" s="4">
        <f>IF(AND(G8&gt;0.05,H8&gt;0),IF(J8&lt;0.3,"HARVEST",IF(J8&lt;0.7,"OPTIMIZE","NEGATE"),"INSUFFICIENT DATA")</f>
        <v/>
      </c>
    </row>
    <row r="9">
      <c r="A9" s="4" t="n"/>
      <c r="B9" s="4" t="n"/>
      <c r="C9" s="5" t="inlineStr"/>
      <c r="D9" s="5" t="inlineStr"/>
      <c r="E9" s="6">
        <f>IF(C9&gt;0,D9/C9,0)</f>
        <v/>
      </c>
      <c r="F9" s="5" t="inlineStr"/>
      <c r="G9" s="6">
        <f>IF(D9&gt;0,F9/D9,0)</f>
        <v/>
      </c>
      <c r="H9" s="5" t="inlineStr"/>
      <c r="J9" s="7">
        <f>IF(I9&gt;0,H9/I9,0)</f>
        <v/>
      </c>
      <c r="K9" s="4">
        <f>IF(AND(G9&gt;0.05,H9&gt;0),IF(J9&lt;0.3,"HARVEST",IF(J9&lt;0.7,"OPTIMIZE","NEGATE"),"INSUFFICIENT DATA")</f>
        <v/>
      </c>
    </row>
    <row r="10">
      <c r="A10" s="4" t="n"/>
      <c r="B10" s="4" t="n"/>
      <c r="C10" s="5" t="inlineStr"/>
      <c r="D10" s="5" t="inlineStr"/>
      <c r="E10" s="6">
        <f>IF(C10&gt;0,D10/C10,0)</f>
        <v/>
      </c>
      <c r="F10" s="5" t="inlineStr"/>
      <c r="G10" s="6">
        <f>IF(D10&gt;0,F10/D10,0)</f>
        <v/>
      </c>
      <c r="H10" s="5" t="inlineStr"/>
      <c r="J10" s="7">
        <f>IF(I10&gt;0,H10/I10,0)</f>
        <v/>
      </c>
      <c r="K10" s="4">
        <f>IF(AND(G10&gt;0.05,H10&gt;0),IF(J10&lt;0.3,"HARVEST",IF(J10&lt;0.7,"OPTIMIZE","NEGATE"),"INSUFFICIENT DATA")</f>
        <v/>
      </c>
    </row>
    <row r="11">
      <c r="A11" s="4" t="n"/>
      <c r="B11" s="4" t="n"/>
      <c r="C11" s="5" t="inlineStr"/>
      <c r="D11" s="5" t="inlineStr"/>
      <c r="E11" s="6">
        <f>IF(C11&gt;0,D11/C11,0)</f>
        <v/>
      </c>
      <c r="F11" s="5" t="inlineStr"/>
      <c r="G11" s="6">
        <f>IF(D11&gt;0,F11/D11,0)</f>
        <v/>
      </c>
      <c r="H11" s="5" t="inlineStr"/>
      <c r="J11" s="7">
        <f>IF(I11&gt;0,H11/I11,0)</f>
        <v/>
      </c>
      <c r="K11" s="4">
        <f>IF(AND(G11&gt;0.05,H11&gt;0),IF(J11&lt;0.3,"HARVEST",IF(J11&lt;0.7,"OPTIMIZE","NEGATE"),"INSUFFICIENT DATA")</f>
        <v/>
      </c>
    </row>
    <row r="12">
      <c r="A12" s="4" t="n"/>
      <c r="B12" s="4" t="n"/>
      <c r="C12" s="5" t="inlineStr"/>
      <c r="D12" s="5" t="inlineStr"/>
      <c r="E12" s="6">
        <f>IF(C12&gt;0,D12/C12,0)</f>
        <v/>
      </c>
      <c r="F12" s="5" t="inlineStr"/>
      <c r="G12" s="6">
        <f>IF(D12&gt;0,F12/D12,0)</f>
        <v/>
      </c>
      <c r="H12" s="5" t="inlineStr"/>
      <c r="J12" s="7">
        <f>IF(I12&gt;0,H12/I12,0)</f>
        <v/>
      </c>
      <c r="K12" s="4">
        <f>IF(AND(G12&gt;0.05,H12&gt;0),IF(J12&lt;0.3,"HARVEST",IF(J12&lt;0.7,"OPTIMIZE","NEGATE"),"INSUFFICIENT DATA")</f>
        <v/>
      </c>
    </row>
    <row r="13">
      <c r="A13" s="4" t="n"/>
      <c r="B13" s="4" t="n"/>
      <c r="C13" s="5" t="inlineStr"/>
      <c r="D13" s="5" t="inlineStr"/>
      <c r="E13" s="6">
        <f>IF(C13&gt;0,D13/C13,0)</f>
        <v/>
      </c>
      <c r="F13" s="5" t="inlineStr"/>
      <c r="G13" s="6">
        <f>IF(D13&gt;0,F13/D13,0)</f>
        <v/>
      </c>
      <c r="H13" s="5" t="inlineStr"/>
      <c r="J13" s="7">
        <f>IF(I13&gt;0,H13/I13,0)</f>
        <v/>
      </c>
      <c r="K13" s="4">
        <f>IF(AND(G13&gt;0.05,H13&gt;0),IF(J13&lt;0.3,"HARVEST",IF(J13&lt;0.7,"OPTIMIZE","NEGATE"),"INSUFFICIENT DATA")</f>
        <v/>
      </c>
    </row>
    <row r="14">
      <c r="A14" s="4" t="n"/>
      <c r="B14" s="4" t="n"/>
      <c r="C14" s="5" t="inlineStr"/>
      <c r="D14" s="5" t="inlineStr"/>
      <c r="E14" s="6">
        <f>IF(C14&gt;0,D14/C14,0)</f>
        <v/>
      </c>
      <c r="F14" s="5" t="inlineStr"/>
      <c r="G14" s="6">
        <f>IF(D14&gt;0,F14/D14,0)</f>
        <v/>
      </c>
      <c r="H14" s="5" t="inlineStr"/>
      <c r="J14" s="7">
        <f>IF(I14&gt;0,H14/I14,0)</f>
        <v/>
      </c>
      <c r="K14" s="4">
        <f>IF(AND(G14&gt;0.05,H14&gt;0),IF(J14&lt;0.3,"HARVEST",IF(J14&lt;0.7,"OPTIMIZE","NEGATE"),"INSUFFICIENT DATA")</f>
        <v/>
      </c>
    </row>
    <row r="15">
      <c r="A15" s="4" t="n"/>
      <c r="B15" s="4" t="n"/>
      <c r="C15" s="5" t="inlineStr"/>
      <c r="D15" s="5" t="inlineStr"/>
      <c r="E15" s="6">
        <f>IF(C15&gt;0,D15/C15,0)</f>
        <v/>
      </c>
      <c r="F15" s="5" t="inlineStr"/>
      <c r="G15" s="6">
        <f>IF(D15&gt;0,F15/D15,0)</f>
        <v/>
      </c>
      <c r="H15" s="5" t="inlineStr"/>
      <c r="J15" s="7">
        <f>IF(I15&gt;0,H15/I15,0)</f>
        <v/>
      </c>
      <c r="K15" s="4">
        <f>IF(AND(G15&gt;0.05,H15&gt;0),IF(J15&lt;0.3,"HARVEST",IF(J15&lt;0.7,"OPTIMIZE","NEGATE"),"INSUFFICIENT DATA")</f>
        <v/>
      </c>
    </row>
    <row r="16">
      <c r="A16" s="4" t="n"/>
      <c r="B16" s="4" t="n"/>
      <c r="C16" s="5" t="inlineStr"/>
      <c r="D16" s="5" t="inlineStr"/>
      <c r="E16" s="6">
        <f>IF(C16&gt;0,D16/C16,0)</f>
        <v/>
      </c>
      <c r="F16" s="5" t="inlineStr"/>
      <c r="G16" s="6">
        <f>IF(D16&gt;0,F16/D16,0)</f>
        <v/>
      </c>
      <c r="H16" s="5" t="inlineStr"/>
      <c r="J16" s="7">
        <f>IF(I16&gt;0,H16/I16,0)</f>
        <v/>
      </c>
      <c r="K16" s="4">
        <f>IF(AND(G16&gt;0.05,H16&gt;0),IF(J16&lt;0.3,"HARVEST",IF(J16&lt;0.7,"OPTIMIZE","NEGATE"),"INSUFFICIENT DATA")</f>
        <v/>
      </c>
    </row>
    <row r="17">
      <c r="A17" s="4" t="n"/>
      <c r="B17" s="4" t="n"/>
      <c r="C17" s="5" t="inlineStr"/>
      <c r="D17" s="5" t="inlineStr"/>
      <c r="E17" s="6">
        <f>IF(C17&gt;0,D17/C17,0)</f>
        <v/>
      </c>
      <c r="F17" s="5" t="inlineStr"/>
      <c r="G17" s="6">
        <f>IF(D17&gt;0,F17/D17,0)</f>
        <v/>
      </c>
      <c r="H17" s="5" t="inlineStr"/>
      <c r="J17" s="7">
        <f>IF(I17&gt;0,H17/I17,0)</f>
        <v/>
      </c>
      <c r="K17" s="4">
        <f>IF(AND(G17&gt;0.05,H17&gt;0),IF(J17&lt;0.3,"HARVEST",IF(J17&lt;0.7,"OPTIMIZE","NEGATE"),"INSUFFICIENT DATA")</f>
        <v/>
      </c>
    </row>
    <row r="18">
      <c r="A18" s="4" t="n"/>
      <c r="B18" s="4" t="n"/>
      <c r="C18" s="5" t="inlineStr"/>
      <c r="D18" s="5" t="inlineStr"/>
      <c r="E18" s="6">
        <f>IF(C18&gt;0,D18/C18,0)</f>
        <v/>
      </c>
      <c r="F18" s="5" t="inlineStr"/>
      <c r="G18" s="6">
        <f>IF(D18&gt;0,F18/D18,0)</f>
        <v/>
      </c>
      <c r="H18" s="5" t="inlineStr"/>
      <c r="J18" s="7">
        <f>IF(I18&gt;0,H18/I18,0)</f>
        <v/>
      </c>
      <c r="K18" s="4">
        <f>IF(AND(G18&gt;0.05,H18&gt;0),IF(J18&lt;0.3,"HARVEST",IF(J18&lt;0.7,"OPTIMIZE","NEGATE"),"INSUFFICIENT DATA")</f>
        <v/>
      </c>
    </row>
    <row r="19">
      <c r="A19" s="4" t="n"/>
      <c r="B19" s="4" t="n"/>
      <c r="C19" s="5" t="inlineStr"/>
      <c r="D19" s="5" t="inlineStr"/>
      <c r="E19" s="6">
        <f>IF(C19&gt;0,D19/C19,0)</f>
        <v/>
      </c>
      <c r="F19" s="5" t="inlineStr"/>
      <c r="G19" s="6">
        <f>IF(D19&gt;0,F19/D19,0)</f>
        <v/>
      </c>
      <c r="H19" s="5" t="inlineStr"/>
      <c r="J19" s="7">
        <f>IF(I19&gt;0,H19/I19,0)</f>
        <v/>
      </c>
      <c r="K19" s="4">
        <f>IF(AND(G19&gt;0.05,H19&gt;0),IF(J19&lt;0.3,"HARVEST",IF(J19&lt;0.7,"OPTIMIZE","NEGATE"),"INSUFFICIENT DATA")</f>
        <v/>
      </c>
    </row>
    <row r="20">
      <c r="A20" s="4" t="n"/>
      <c r="B20" s="4" t="n"/>
      <c r="C20" s="5" t="inlineStr"/>
      <c r="D20" s="5" t="inlineStr"/>
      <c r="E20" s="6">
        <f>IF(C20&gt;0,D20/C20,0)</f>
        <v/>
      </c>
      <c r="F20" s="5" t="inlineStr"/>
      <c r="G20" s="6">
        <f>IF(D20&gt;0,F20/D20,0)</f>
        <v/>
      </c>
      <c r="H20" s="5" t="inlineStr"/>
      <c r="J20" s="7">
        <f>IF(I20&gt;0,H20/I20,0)</f>
        <v/>
      </c>
      <c r="K20" s="4">
        <f>IF(AND(G20&gt;0.05,H20&gt;0),IF(J20&lt;0.3,"HARVEST",IF(J20&lt;0.7,"OPTIMIZE","NEGATE"),"INSUFFICIENT DATA")</f>
        <v/>
      </c>
    </row>
    <row r="21">
      <c r="A21" s="4" t="n"/>
      <c r="B21" s="4" t="n"/>
      <c r="C21" s="5" t="inlineStr"/>
      <c r="D21" s="5" t="inlineStr"/>
      <c r="E21" s="6">
        <f>IF(C21&gt;0,D21/C21,0)</f>
        <v/>
      </c>
      <c r="F21" s="5" t="inlineStr"/>
      <c r="G21" s="6">
        <f>IF(D21&gt;0,F21/D21,0)</f>
        <v/>
      </c>
      <c r="H21" s="5" t="inlineStr"/>
      <c r="J21" s="7">
        <f>IF(I21&gt;0,H21/I21,0)</f>
        <v/>
      </c>
      <c r="K21" s="4">
        <f>IF(AND(G21&gt;0.05,H21&gt;0),IF(J21&lt;0.3,"HARVEST",IF(J21&lt;0.7,"OPTIMIZE","NEGATE"),"INSUFFICIENT DATA")</f>
        <v/>
      </c>
    </row>
    <row r="22">
      <c r="A22" s="4" t="n"/>
      <c r="B22" s="4" t="n"/>
      <c r="C22" s="5" t="inlineStr"/>
      <c r="D22" s="5" t="inlineStr"/>
      <c r="E22" s="6">
        <f>IF(C22&gt;0,D22/C22,0)</f>
        <v/>
      </c>
      <c r="F22" s="5" t="inlineStr"/>
      <c r="G22" s="6">
        <f>IF(D22&gt;0,F22/D22,0)</f>
        <v/>
      </c>
      <c r="H22" s="5" t="inlineStr"/>
      <c r="J22" s="7">
        <f>IF(I22&gt;0,H22/I22,0)</f>
        <v/>
      </c>
      <c r="K22" s="4">
        <f>IF(AND(G22&gt;0.05,H22&gt;0),IF(J22&lt;0.3,"HARVEST",IF(J22&lt;0.7,"OPTIMIZE","NEGATE"),"INSUFFICIENT DATA")</f>
        <v/>
      </c>
    </row>
    <row r="23">
      <c r="A23" s="4" t="n"/>
      <c r="B23" s="4" t="n"/>
      <c r="C23" s="5" t="inlineStr"/>
      <c r="D23" s="5" t="inlineStr"/>
      <c r="E23" s="6">
        <f>IF(C23&gt;0,D23/C23,0)</f>
        <v/>
      </c>
      <c r="F23" s="5" t="inlineStr"/>
      <c r="G23" s="6">
        <f>IF(D23&gt;0,F23/D23,0)</f>
        <v/>
      </c>
      <c r="H23" s="5" t="inlineStr"/>
      <c r="J23" s="7">
        <f>IF(I23&gt;0,H23/I23,0)</f>
        <v/>
      </c>
      <c r="K23" s="4">
        <f>IF(AND(G23&gt;0.05,H23&gt;0),IF(J23&lt;0.3,"HARVEST",IF(J23&lt;0.7,"OPTIMIZE","NEGATE"),"INSUFFICIENT DATA")</f>
        <v/>
      </c>
    </row>
    <row r="24">
      <c r="A24" s="4" t="n"/>
      <c r="B24" s="4" t="n"/>
      <c r="C24" s="5" t="inlineStr"/>
      <c r="D24" s="5" t="inlineStr"/>
      <c r="E24" s="6">
        <f>IF(C24&gt;0,D24/C24,0)</f>
        <v/>
      </c>
      <c r="F24" s="5" t="inlineStr"/>
      <c r="G24" s="6">
        <f>IF(D24&gt;0,F24/D24,0)</f>
        <v/>
      </c>
      <c r="H24" s="5" t="inlineStr"/>
      <c r="J24" s="7">
        <f>IF(I24&gt;0,H24/I24,0)</f>
        <v/>
      </c>
      <c r="K24" s="4">
        <f>IF(AND(G24&gt;0.05,H24&gt;0),IF(J24&lt;0.3,"HARVEST",IF(J24&lt;0.7,"OPTIMIZE","NEGATE"),"INSUFFICIENT DATA")</f>
        <v/>
      </c>
    </row>
    <row r="25">
      <c r="A25" s="4" t="n"/>
      <c r="B25" s="4" t="n"/>
      <c r="C25" s="5" t="inlineStr"/>
      <c r="D25" s="5" t="inlineStr"/>
      <c r="E25" s="6">
        <f>IF(C25&gt;0,D25/C25,0)</f>
        <v/>
      </c>
      <c r="F25" s="5" t="inlineStr"/>
      <c r="G25" s="6">
        <f>IF(D25&gt;0,F25/D25,0)</f>
        <v/>
      </c>
      <c r="H25" s="5" t="inlineStr"/>
      <c r="J25" s="7">
        <f>IF(I25&gt;0,H25/I25,0)</f>
        <v/>
      </c>
      <c r="K25" s="4">
        <f>IF(AND(G25&gt;0.05,H25&gt;0),IF(J25&lt;0.3,"HARVEST",IF(J25&lt;0.7,"OPTIMIZE","NEGATE"),"INSUFFICIENT DATA")</f>
        <v/>
      </c>
    </row>
    <row r="26">
      <c r="A26" s="4" t="n"/>
      <c r="B26" s="4" t="n"/>
      <c r="C26" s="5" t="inlineStr"/>
      <c r="D26" s="5" t="inlineStr"/>
      <c r="E26" s="6">
        <f>IF(C26&gt;0,D26/C26,0)</f>
        <v/>
      </c>
      <c r="F26" s="5" t="inlineStr"/>
      <c r="G26" s="6">
        <f>IF(D26&gt;0,F26/D26,0)</f>
        <v/>
      </c>
      <c r="H26" s="5" t="inlineStr"/>
      <c r="J26" s="7">
        <f>IF(I26&gt;0,H26/I26,0)</f>
        <v/>
      </c>
      <c r="K26" s="4">
        <f>IF(AND(G26&gt;0.05,H26&gt;0),IF(J26&lt;0.3,"HARVEST",IF(J26&lt;0.7,"OPTIMIZE","NEGATE"),"INSUFFICIENT DATA")</f>
        <v/>
      </c>
    </row>
    <row r="27">
      <c r="A27" s="4" t="n"/>
      <c r="B27" s="4" t="n"/>
      <c r="C27" s="5" t="inlineStr"/>
      <c r="D27" s="5" t="inlineStr"/>
      <c r="E27" s="6">
        <f>IF(C27&gt;0,D27/C27,0)</f>
        <v/>
      </c>
      <c r="F27" s="5" t="inlineStr"/>
      <c r="G27" s="6">
        <f>IF(D27&gt;0,F27/D27,0)</f>
        <v/>
      </c>
      <c r="H27" s="5" t="inlineStr"/>
      <c r="J27" s="7">
        <f>IF(I27&gt;0,H27/I27,0)</f>
        <v/>
      </c>
      <c r="K27" s="4">
        <f>IF(AND(G27&gt;0.05,H27&gt;0),IF(J27&lt;0.3,"HARVEST",IF(J27&lt;0.7,"OPTIMIZE","NEGATE"),"INSUFFICIENT DATA")</f>
        <v/>
      </c>
    </row>
    <row r="28">
      <c r="A28" s="4" t="n"/>
      <c r="B28" s="4" t="n"/>
      <c r="C28" s="5" t="inlineStr"/>
      <c r="D28" s="5" t="inlineStr"/>
      <c r="E28" s="6">
        <f>IF(C28&gt;0,D28/C28,0)</f>
        <v/>
      </c>
      <c r="F28" s="5" t="inlineStr"/>
      <c r="G28" s="6">
        <f>IF(D28&gt;0,F28/D28,0)</f>
        <v/>
      </c>
      <c r="H28" s="5" t="inlineStr"/>
      <c r="J28" s="7">
        <f>IF(I28&gt;0,H28/I28,0)</f>
        <v/>
      </c>
      <c r="K28" s="4">
        <f>IF(AND(G28&gt;0.05,H28&gt;0),IF(J28&lt;0.3,"HARVEST",IF(J28&lt;0.7,"OPTIMIZE","NEGATE"),"INSUFFICIENT DATA")</f>
        <v/>
      </c>
    </row>
    <row r="29">
      <c r="A29" s="4" t="n"/>
      <c r="B29" s="4" t="n"/>
      <c r="C29" s="5" t="inlineStr"/>
      <c r="D29" s="5" t="inlineStr"/>
      <c r="E29" s="6">
        <f>IF(C29&gt;0,D29/C29,0)</f>
        <v/>
      </c>
      <c r="F29" s="5" t="inlineStr"/>
      <c r="G29" s="6">
        <f>IF(D29&gt;0,F29/D29,0)</f>
        <v/>
      </c>
      <c r="H29" s="5" t="inlineStr"/>
      <c r="J29" s="7">
        <f>IF(I29&gt;0,H29/I29,0)</f>
        <v/>
      </c>
      <c r="K29" s="4">
        <f>IF(AND(G29&gt;0.05,H29&gt;0),IF(J29&lt;0.3,"HARVEST",IF(J29&lt;0.7,"OPTIMIZE","NEGATE"),"INSUFFICIENT DATA")</f>
        <v/>
      </c>
    </row>
    <row r="30">
      <c r="A30" s="4" t="n"/>
      <c r="B30" s="4" t="n"/>
      <c r="C30" s="5" t="inlineStr"/>
      <c r="D30" s="5" t="inlineStr"/>
      <c r="E30" s="6">
        <f>IF(C30&gt;0,D30/C30,0)</f>
        <v/>
      </c>
      <c r="F30" s="5" t="inlineStr"/>
      <c r="G30" s="6">
        <f>IF(D30&gt;0,F30/D30,0)</f>
        <v/>
      </c>
      <c r="H30" s="5" t="inlineStr"/>
      <c r="J30" s="7">
        <f>IF(I30&gt;0,H30/I30,0)</f>
        <v/>
      </c>
      <c r="K30" s="4">
        <f>IF(AND(G30&gt;0.05,H30&gt;0),IF(J30&lt;0.3,"HARVEST",IF(J30&lt;0.7,"OPTIMIZE","NEGATE"),"INSUFFICIENT DATA")</f>
        <v/>
      </c>
    </row>
    <row r="31">
      <c r="A31" s="4" t="n"/>
      <c r="B31" s="4" t="n"/>
      <c r="C31" s="5" t="inlineStr"/>
      <c r="D31" s="5" t="inlineStr"/>
      <c r="E31" s="6">
        <f>IF(C31&gt;0,D31/C31,0)</f>
        <v/>
      </c>
      <c r="F31" s="5" t="inlineStr"/>
      <c r="G31" s="6">
        <f>IF(D31&gt;0,F31/D31,0)</f>
        <v/>
      </c>
      <c r="H31" s="5" t="inlineStr"/>
      <c r="J31" s="7">
        <f>IF(I31&gt;0,H31/I31,0)</f>
        <v/>
      </c>
      <c r="K31" s="4">
        <f>IF(AND(G31&gt;0.05,H31&gt;0),IF(J31&lt;0.3,"HARVEST",IF(J31&lt;0.7,"OPTIMIZE","NEGATE"),"INSUFFICIENT DATA")</f>
        <v/>
      </c>
    </row>
    <row r="32">
      <c r="A32" s="4" t="n"/>
      <c r="B32" s="4" t="n"/>
      <c r="C32" s="5" t="inlineStr"/>
      <c r="D32" s="5" t="inlineStr"/>
      <c r="E32" s="6">
        <f>IF(C32&gt;0,D32/C32,0)</f>
        <v/>
      </c>
      <c r="F32" s="5" t="inlineStr"/>
      <c r="G32" s="6">
        <f>IF(D32&gt;0,F32/D32,0)</f>
        <v/>
      </c>
      <c r="H32" s="5" t="inlineStr"/>
      <c r="J32" s="7">
        <f>IF(I32&gt;0,H32/I32,0)</f>
        <v/>
      </c>
      <c r="K32" s="4">
        <f>IF(AND(G32&gt;0.05,H32&gt;0),IF(J32&lt;0.3,"HARVEST",IF(J32&lt;0.7,"OPTIMIZE","NEGATE"),"INSUFFICIENT DATA")</f>
        <v/>
      </c>
    </row>
    <row r="33">
      <c r="A33" s="4" t="n"/>
      <c r="B33" s="4" t="n"/>
      <c r="C33" s="5" t="inlineStr"/>
      <c r="D33" s="5" t="inlineStr"/>
      <c r="E33" s="6">
        <f>IF(C33&gt;0,D33/C33,0)</f>
        <v/>
      </c>
      <c r="F33" s="5" t="inlineStr"/>
      <c r="G33" s="6">
        <f>IF(D33&gt;0,F33/D33,0)</f>
        <v/>
      </c>
      <c r="H33" s="5" t="inlineStr"/>
      <c r="J33" s="7">
        <f>IF(I33&gt;0,H33/I33,0)</f>
        <v/>
      </c>
      <c r="K33" s="4">
        <f>IF(AND(G33&gt;0.05,H33&gt;0),IF(J33&lt;0.3,"HARVEST",IF(J33&lt;0.7,"OPTIMIZE","NEGATE"),"INSUFFICIENT DATA")</f>
        <v/>
      </c>
    </row>
    <row r="34">
      <c r="A34" s="4" t="n"/>
      <c r="B34" s="4" t="n"/>
      <c r="C34" s="5" t="inlineStr"/>
      <c r="D34" s="5" t="inlineStr"/>
      <c r="E34" s="6">
        <f>IF(C34&gt;0,D34/C34,0)</f>
        <v/>
      </c>
      <c r="F34" s="5" t="inlineStr"/>
      <c r="G34" s="6">
        <f>IF(D34&gt;0,F34/D34,0)</f>
        <v/>
      </c>
      <c r="H34" s="5" t="inlineStr"/>
      <c r="J34" s="7">
        <f>IF(I34&gt;0,H34/I34,0)</f>
        <v/>
      </c>
      <c r="K34" s="4">
        <f>IF(AND(G34&gt;0.05,H34&gt;0),IF(J34&lt;0.3,"HARVEST",IF(J34&lt;0.7,"OPTIMIZE","NEGATE"),"INSUFFICIENT DATA")</f>
        <v/>
      </c>
    </row>
    <row r="36">
      <c r="A36" s="2" t="inlineStr">
        <is>
          <t>SUMMARY</t>
        </is>
      </c>
    </row>
    <row r="37">
      <c r="A37" s="8" t="inlineStr">
        <is>
          <t>Total Keywords:</t>
        </is>
      </c>
      <c r="B37" s="9">
        <f>COUNTA(A5:A34)</f>
        <v/>
      </c>
    </row>
    <row r="38">
      <c r="A38" s="8" t="inlineStr">
        <is>
          <t>Total Spend:</t>
        </is>
      </c>
      <c r="B38" s="10">
        <f>SUM(H5:H34)</f>
        <v/>
      </c>
    </row>
    <row r="39">
      <c r="A39" s="8" t="inlineStr">
        <is>
          <t>Total Revenue:</t>
        </is>
      </c>
      <c r="B39" s="10">
        <f>SUM(I5:I34)</f>
        <v/>
      </c>
    </row>
    <row r="40">
      <c r="A40" s="8" t="inlineStr">
        <is>
          <t>Overall ACoS:</t>
        </is>
      </c>
      <c r="B40" s="11">
        <f>IF(B39&gt;0,B38/B39,0)</f>
        <v/>
      </c>
    </row>
    <row r="41">
      <c r="A41" s="8" t="inlineStr">
        <is>
          <t>Keywords to Harvest:</t>
        </is>
      </c>
      <c r="B41" s="9">
        <f>COUNTIF(K5:K34,"HARVEST")</f>
        <v/>
      </c>
    </row>
    <row r="42">
      <c r="A42" s="8" t="inlineStr">
        <is>
          <t>Keywords to Optimize:</t>
        </is>
      </c>
      <c r="B42" s="9">
        <f>COUNTIF(K5:K34,"OPTIMIZE")</f>
        <v/>
      </c>
    </row>
    <row r="43">
      <c r="A43" s="8" t="inlineStr">
        <is>
          <t>Keywords to Negate:</t>
        </is>
      </c>
      <c r="B43" s="9">
        <f>COUNTIF(K5:K34,"NEGATE")</f>
        <v/>
      </c>
    </row>
  </sheetData>
  <mergeCells count="3">
    <mergeCell ref="A3:F3"/>
    <mergeCell ref="A1:J1"/>
    <mergeCell ref="A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2026-06-29T15:02:11Z</dcterms:created>
  <dcterms:modified xsi:type="dcterms:W3CDTF">2026-06-29T15:02:11Z</dcterms:modified>
</cp:coreProperties>
</file>