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6B35"/>
      <sz val="12"/>
    </font>
    <font>
      <name val="Calibri"/>
      <b val="1"/>
      <color rgb="002C3E50"/>
      <sz val="11"/>
    </font>
    <font>
      <name val="Calibri"/>
      <b val="1"/>
      <color rgb="001A1A2E"/>
      <sz val="12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F6B35"/>
        <bgColor rgb="00FF6B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498DB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</cols>
  <sheetData>
    <row r="1" ht="35" customHeight="1">
      <c r="A1" s="1" t="inlineStr">
        <is>
          <t>AMAZON PPC BID CALCULATOR</t>
        </is>
      </c>
    </row>
    <row r="3">
      <c r="A3" s="2" t="inlineStr">
        <is>
          <t>INPUTS</t>
        </is>
      </c>
    </row>
    <row r="4">
      <c r="A4" s="3" t="inlineStr">
        <is>
          <t>Target ACoS (%):</t>
        </is>
      </c>
      <c r="B4" s="4" t="n">
        <v>0.3</v>
      </c>
    </row>
    <row r="5">
      <c r="A5" s="3" t="inlineStr">
        <is>
          <t>Product Price ($):</t>
        </is>
      </c>
      <c r="B5" s="4" t="n">
        <v>29.99</v>
      </c>
    </row>
    <row r="6">
      <c r="A6" s="3" t="inlineStr">
        <is>
          <t>Conversion Rate (%):</t>
        </is>
      </c>
      <c r="B6" s="4" t="n">
        <v>0.1</v>
      </c>
    </row>
    <row r="7">
      <c r="A7" s="3" t="inlineStr">
        <is>
          <t>Current CPC ($):</t>
        </is>
      </c>
      <c r="B7" s="4" t="n">
        <v>0.85</v>
      </c>
    </row>
    <row r="9">
      <c r="A9" s="2" t="inlineStr">
        <is>
          <t>RESULTS</t>
        </is>
      </c>
    </row>
    <row r="10">
      <c r="A10" s="3" t="inlineStr">
        <is>
          <t>Max CPC (for Target ACoS):</t>
        </is>
      </c>
      <c r="B10" s="5">
        <f>B4*B5*B6</f>
        <v/>
      </c>
    </row>
    <row r="11">
      <c r="A11" s="3" t="inlineStr">
        <is>
          <t>Recommended Bid (80% of Max):</t>
        </is>
      </c>
      <c r="B11" s="5">
        <f>B10*0.8</f>
        <v/>
      </c>
    </row>
    <row r="12">
      <c r="A12" s="3" t="inlineStr">
        <is>
          <t>Aggressive Bid (100% of Max):</t>
        </is>
      </c>
      <c r="B12" s="5">
        <f>B10</f>
        <v/>
      </c>
    </row>
    <row r="13">
      <c r="A13" s="3" t="inlineStr">
        <is>
          <t>Conservative Bid (60% of Max):</t>
        </is>
      </c>
      <c r="B13" s="5">
        <f>B10*0.6</f>
        <v/>
      </c>
    </row>
    <row r="15">
      <c r="A15" s="2" t="inlineStr">
        <is>
          <t>PLACEMENT ADJUSTMENTS</t>
        </is>
      </c>
    </row>
    <row r="16">
      <c r="A16" s="3" t="inlineStr">
        <is>
          <t>Top of Search Adj (%):</t>
        </is>
      </c>
      <c r="B16" s="4" t="n">
        <v>0.5</v>
      </c>
    </row>
    <row r="17">
      <c r="A17" s="3" t="inlineStr">
        <is>
          <t>Product Pages Adj (%):</t>
        </is>
      </c>
      <c r="B17" s="4" t="n">
        <v>0</v>
      </c>
    </row>
    <row r="18">
      <c r="A18" s="3" t="inlineStr">
        <is>
          <t>Top of Search Effective Bid:</t>
        </is>
      </c>
      <c r="B18" s="5">
        <f>B11*(1+B16)</f>
        <v/>
      </c>
    </row>
    <row r="19">
      <c r="A19" s="3" t="inlineStr">
        <is>
          <t>Product Pages Effective Bid:</t>
        </is>
      </c>
      <c r="B19" s="5">
        <f>B11*(1+B17)</f>
        <v/>
      </c>
    </row>
    <row r="21">
      <c r="A21" s="2" t="inlineStr">
        <is>
          <t>MATCH TYPE BIDS</t>
        </is>
      </c>
    </row>
    <row r="22">
      <c r="A22" s="6" t="inlineStr">
        <is>
          <t>Match Type</t>
        </is>
      </c>
      <c r="B22" s="6" t="inlineStr">
        <is>
          <t>Bid Multiplier</t>
        </is>
      </c>
      <c r="C22" s="6" t="inlineStr">
        <is>
          <t>Recommended Bid</t>
        </is>
      </c>
      <c r="D22" s="6" t="inlineStr"/>
      <c r="E22" s="6" t="inlineStr"/>
      <c r="F22" s="6" t="inlineStr"/>
    </row>
    <row r="23">
      <c r="A23" s="7" t="inlineStr">
        <is>
          <t>Exact</t>
        </is>
      </c>
      <c r="B23" s="8" t="n">
        <v>1</v>
      </c>
      <c r="C23" s="5">
        <f>B11*B23</f>
        <v/>
      </c>
    </row>
    <row r="24">
      <c r="A24" s="7" t="inlineStr">
        <is>
          <t>Phrase</t>
        </is>
      </c>
      <c r="B24" s="8" t="n">
        <v>0.85</v>
      </c>
      <c r="C24" s="5">
        <f>B11*B24</f>
        <v/>
      </c>
    </row>
    <row r="25">
      <c r="A25" s="7" t="inlineStr">
        <is>
          <t>Broad</t>
        </is>
      </c>
      <c r="B25" s="8" t="n">
        <v>0.7</v>
      </c>
      <c r="C25" s="5">
        <f>B11*B25</f>
        <v/>
      </c>
    </row>
    <row r="26">
      <c r="A26" s="7" t="inlineStr">
        <is>
          <t>Auto</t>
        </is>
      </c>
      <c r="B26" s="8" t="n">
        <v>0.6</v>
      </c>
      <c r="C26" s="5">
        <f>B11*B26</f>
        <v/>
      </c>
    </row>
    <row r="28">
      <c r="A28" s="2" t="inlineStr">
        <is>
          <t>SENSITIVITY: What if CVR changes?</t>
        </is>
      </c>
    </row>
    <row r="29">
      <c r="A29" s="6" t="inlineStr">
        <is>
          <t>CVR</t>
        </is>
      </c>
      <c r="B29" s="6" t="inlineStr">
        <is>
          <t>Max CPC</t>
        </is>
      </c>
      <c r="C29" s="6" t="inlineStr">
        <is>
          <t>Status</t>
        </is>
      </c>
      <c r="D29" s="6" t="inlineStr"/>
      <c r="E29" s="6" t="inlineStr"/>
      <c r="F29" s="6" t="inlineStr"/>
    </row>
    <row r="30">
      <c r="A30" s="8" t="n">
        <v>0.05</v>
      </c>
      <c r="B30" s="5">
        <f>B$4*B$5*A30</f>
        <v/>
      </c>
      <c r="C30" s="7">
        <f>IF(B30&gt;B7,"Affordable","Too Expensive")</f>
        <v/>
      </c>
    </row>
    <row r="31">
      <c r="A31" s="8" t="n">
        <v>0.08</v>
      </c>
      <c r="B31" s="5">
        <f>B$4*B$5*A31</f>
        <v/>
      </c>
      <c r="C31" s="7">
        <f>IF(B31&gt;B7,"Affordable","Too Expensive")</f>
        <v/>
      </c>
    </row>
    <row r="32">
      <c r="A32" s="8" t="n">
        <v>0.1</v>
      </c>
      <c r="B32" s="5">
        <f>B$4*B$5*A32</f>
        <v/>
      </c>
      <c r="C32" s="7">
        <f>IF(B32&gt;B7,"Affordable","Too Expensive")</f>
        <v/>
      </c>
    </row>
    <row r="33">
      <c r="A33" s="8" t="n">
        <v>0.12</v>
      </c>
      <c r="B33" s="5">
        <f>B$4*B$5*A33</f>
        <v/>
      </c>
      <c r="C33" s="7">
        <f>IF(B33&gt;B7,"Affordable","Too Expensive")</f>
        <v/>
      </c>
    </row>
    <row r="34">
      <c r="A34" s="8" t="n">
        <v>0.15</v>
      </c>
      <c r="B34" s="5">
        <f>B$4*B$5*A34</f>
        <v/>
      </c>
      <c r="C34" s="7">
        <f>IF(B34&gt;B7,"Affordable","Too Expensive")</f>
        <v/>
      </c>
    </row>
    <row r="35">
      <c r="A35" s="8" t="n">
        <v>0.2</v>
      </c>
      <c r="B35" s="5">
        <f>B$4*B$5*A35</f>
        <v/>
      </c>
      <c r="C35" s="7">
        <f>IF(B35&gt;B7,"Affordable","Too Expensive")</f>
        <v/>
      </c>
    </row>
  </sheetData>
  <mergeCells count="6">
    <mergeCell ref="A28:F28"/>
    <mergeCell ref="A1:F1"/>
    <mergeCell ref="A9:F9"/>
    <mergeCell ref="A3:F3"/>
    <mergeCell ref="A21:F2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2026-06-29T15:02:11Z</dcterms:created>
  <dcterms:modified xsi:type="dcterms:W3CDTF">2026-06-29T15:02:11Z</dcterms:modified>
</cp:coreProperties>
</file>