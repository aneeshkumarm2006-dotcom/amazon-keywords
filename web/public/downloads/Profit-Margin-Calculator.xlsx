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.00"/>
    <numFmt numFmtId="165" formatCode="0.0%"/>
    <numFmt numFmtId="166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6B35"/>
      <sz val="12"/>
    </font>
    <font>
      <name val="Calibri"/>
      <b val="1"/>
      <color rgb="002C3E50"/>
      <sz val="11"/>
    </font>
    <font>
      <name val="Calibri"/>
      <b val="1"/>
      <color rgb="001A1A2E"/>
      <sz val="12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5" customHeight="1">
      <c r="A1" s="1" t="inlineStr">
        <is>
          <t>PROFIT MARGIN &amp; BREAK-EVEN CALCULATOR</t>
        </is>
      </c>
    </row>
    <row r="3">
      <c r="A3" s="2" t="inlineStr">
        <is>
          <t>PRODUCT COSTS</t>
        </is>
      </c>
    </row>
    <row r="4">
      <c r="A4" s="3" t="inlineStr">
        <is>
          <t>Selling Price ($):</t>
        </is>
      </c>
      <c r="B4" s="4" t="n">
        <v>29.99</v>
      </c>
    </row>
    <row r="5">
      <c r="A5" s="3" t="inlineStr">
        <is>
          <t>Cost of Goods ($):</t>
        </is>
      </c>
      <c r="B5" s="4" t="n">
        <v>8</v>
      </c>
    </row>
    <row r="6">
      <c r="A6" s="3" t="inlineStr">
        <is>
          <t>Shipping to Amazon ($):</t>
        </is>
      </c>
      <c r="B6" s="4" t="n">
        <v>2</v>
      </c>
    </row>
    <row r="7">
      <c r="A7" s="3" t="inlineStr">
        <is>
          <t>FBA Fulfillment Fee ($):</t>
        </is>
      </c>
      <c r="B7" s="4" t="n">
        <v>5.5</v>
      </c>
    </row>
    <row r="8">
      <c r="A8" s="3" t="inlineStr">
        <is>
          <t>Amazon Referral Fee (%):</t>
        </is>
      </c>
      <c r="B8" s="4" t="n">
        <v>0.15</v>
      </c>
    </row>
    <row r="9">
      <c r="A9" s="3" t="inlineStr">
        <is>
          <t>Other Costs ($):</t>
        </is>
      </c>
      <c r="B9" s="4" t="n">
        <v>1</v>
      </c>
    </row>
    <row r="11">
      <c r="A11" s="2" t="inlineStr">
        <is>
          <t>MARGIN CALCULATIONS</t>
        </is>
      </c>
    </row>
    <row r="12">
      <c r="A12" s="3" t="inlineStr">
        <is>
          <t>Amazon Referral Fee ($):</t>
        </is>
      </c>
      <c r="B12" s="5">
        <f>B4*B8</f>
        <v/>
      </c>
    </row>
    <row r="13">
      <c r="A13" s="3" t="inlineStr">
        <is>
          <t>Total Cost Per Unit:</t>
        </is>
      </c>
      <c r="B13" s="5">
        <f>B5+B6+B7+B12+B9</f>
        <v/>
      </c>
    </row>
    <row r="14">
      <c r="A14" s="3" t="inlineStr">
        <is>
          <t>Profit Per Unit (No Ads):</t>
        </is>
      </c>
      <c r="B14" s="5">
        <f>B4-B13</f>
        <v/>
      </c>
    </row>
    <row r="15">
      <c r="A15" s="3" t="inlineStr">
        <is>
          <t>Profit Margin (%):</t>
        </is>
      </c>
      <c r="B15" s="6">
        <f>IF(B4&gt;0,B14/B4,0)</f>
        <v/>
      </c>
    </row>
    <row r="16">
      <c r="A16" s="3" t="inlineStr">
        <is>
          <t>Break-Even ACoS:</t>
        </is>
      </c>
      <c r="B16" s="6">
        <f>IF(B4&gt;0,B14/B4,0)</f>
        <v/>
      </c>
    </row>
    <row r="18">
      <c r="A18" s="2" t="inlineStr">
        <is>
          <t>PPC PROFITABILITY</t>
        </is>
      </c>
    </row>
    <row r="19">
      <c r="A19" s="3" t="inlineStr">
        <is>
          <t>Ad Spend ($):</t>
        </is>
      </c>
      <c r="B19" s="4" t="n">
        <v>500</v>
      </c>
    </row>
    <row r="20">
      <c r="A20" s="3" t="inlineStr">
        <is>
          <t>Ad Revenue ($):</t>
        </is>
      </c>
      <c r="B20" s="4" t="n">
        <v>2000</v>
      </c>
    </row>
    <row r="21">
      <c r="A21" s="3" t="inlineStr">
        <is>
          <t>ACoS:</t>
        </is>
      </c>
      <c r="B21" s="6">
        <f>IF(B20&gt;0,B19/B20,0)</f>
        <v/>
      </c>
    </row>
    <row r="22">
      <c r="A22" s="3" t="inlineStr">
        <is>
          <t>Units Sold (Ad):</t>
        </is>
      </c>
      <c r="B22" s="7">
        <f>IF(B4&gt;0,B20/B4,0)</f>
        <v/>
      </c>
    </row>
    <row r="23">
      <c r="A23" s="3" t="inlineStr">
        <is>
          <t>Total Ad Profit:</t>
        </is>
      </c>
      <c r="B23" s="8">
        <f>B20-B19-(B13*B22)</f>
        <v/>
      </c>
    </row>
    <row r="24">
      <c r="A24" s="3" t="inlineStr">
        <is>
          <t>ROI on Ad Spend:</t>
        </is>
      </c>
      <c r="B24" s="6">
        <f>IF(B19&gt;0,B23/B19,0)</f>
        <v/>
      </c>
    </row>
    <row r="26">
      <c r="A26" s="2" t="inlineStr">
        <is>
          <t>MAX PPC SPEND (to stay profitable)</t>
        </is>
      </c>
    </row>
    <row r="27">
      <c r="A27" s="3" t="inlineStr">
        <is>
          <t>Max Ad Spend at Break-Even:</t>
        </is>
      </c>
      <c r="B27" s="5">
        <f>B20*B16</f>
        <v/>
      </c>
    </row>
    <row r="28">
      <c r="A28" s="3" t="inlineStr">
        <is>
          <t>Max Ad Spend at 50% of Margin:</t>
        </is>
      </c>
      <c r="B28" s="5">
        <f>B20*(B16*0.5)</f>
        <v/>
      </c>
    </row>
  </sheetData>
  <mergeCells count="5">
    <mergeCell ref="A11:F11"/>
    <mergeCell ref="A1:F1"/>
    <mergeCell ref="A26:F2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2026-06-29T15:02:11Z</dcterms:created>
  <dcterms:modified xsi:type="dcterms:W3CDTF">2026-06-29T15:02:11Z</dcterms:modified>
</cp:coreProperties>
</file>