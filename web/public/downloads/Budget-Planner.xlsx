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6B35"/>
      <sz val="12"/>
    </font>
    <font>
      <name val="Calibri"/>
      <b val="1"/>
      <color rgb="002C3E50"/>
      <sz val="11"/>
    </font>
    <font>
      <name val="Calibri"/>
      <b val="1"/>
      <color rgb="001A1A2E"/>
      <sz val="12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F6B35"/>
        <bgColor rgb="00FF6B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7E22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 ht="35" customHeight="1">
      <c r="A1" s="1" t="inlineStr">
        <is>
          <t>PPC BUDGET PLANNER</t>
        </is>
      </c>
    </row>
    <row r="3">
      <c r="A3" s="2" t="inlineStr">
        <is>
          <t>INPUTS</t>
        </is>
      </c>
    </row>
    <row r="4">
      <c r="A4" s="3" t="inlineStr">
        <is>
          <t>Monthly Revenue Target ($):</t>
        </is>
      </c>
      <c r="B4" s="4" t="n">
        <v>10000</v>
      </c>
    </row>
    <row r="5">
      <c r="A5" s="3" t="inlineStr">
        <is>
          <t>Target ACoS (%):</t>
        </is>
      </c>
      <c r="B5" s="4" t="n">
        <v>0.3</v>
      </c>
    </row>
    <row r="6">
      <c r="A6" s="3" t="inlineStr">
        <is>
          <t>Number of Products:</t>
        </is>
      </c>
      <c r="B6" s="4" t="n">
        <v>5</v>
      </c>
    </row>
    <row r="7">
      <c r="A7" s="3" t="inlineStr">
        <is>
          <t>Average Product Price ($):</t>
        </is>
      </c>
      <c r="B7" s="4" t="n">
        <v>29.99</v>
      </c>
    </row>
    <row r="9">
      <c r="A9" s="2" t="inlineStr">
        <is>
          <t>BUDGET CALCULATIONS</t>
        </is>
      </c>
    </row>
    <row r="10">
      <c r="A10" s="3" t="inlineStr">
        <is>
          <t>Max Monthly PPC Budget:</t>
        </is>
      </c>
      <c r="B10" s="5">
        <f>B4*B5</f>
        <v/>
      </c>
    </row>
    <row r="11">
      <c r="A11" s="3" t="inlineStr">
        <is>
          <t>Max Daily Budget:</t>
        </is>
      </c>
      <c r="B11" s="5">
        <f>B10/30</f>
        <v/>
      </c>
    </row>
    <row r="12">
      <c r="A12" s="3" t="inlineStr">
        <is>
          <t>Budget Per Product (Equal):</t>
        </is>
      </c>
      <c r="B12" s="5">
        <f>IF(B6&gt;0,B10/B6,0)</f>
        <v/>
      </c>
    </row>
    <row r="13">
      <c r="A13" s="3" t="inlineStr">
        <is>
          <t>Daily Budget Per Product:</t>
        </is>
      </c>
      <c r="B13" s="5">
        <f>B12/30</f>
        <v/>
      </c>
    </row>
    <row r="15">
      <c r="A15" s="2" t="inlineStr">
        <is>
          <t>70/20/10 ALLOCATION</t>
        </is>
      </c>
    </row>
    <row r="16">
      <c r="A16" s="6" t="inlineStr">
        <is>
          <t>Tier</t>
        </is>
      </c>
      <c r="B16" s="6" t="inlineStr">
        <is>
          <t>Products</t>
        </is>
      </c>
      <c r="C16" s="6" t="inlineStr">
        <is>
          <t>Budget %</t>
        </is>
      </c>
      <c r="D16" s="6" t="inlineStr">
        <is>
          <t>Daily Budget</t>
        </is>
      </c>
      <c r="E16" s="6" t="inlineStr">
        <is>
          <t>Monthly Budget</t>
        </is>
      </c>
      <c r="F16" s="6" t="inlineStr"/>
    </row>
    <row r="17">
      <c r="A17" s="7" t="inlineStr">
        <is>
          <t>Winners (70%)</t>
        </is>
      </c>
      <c r="B17" s="7">
        <f>ROUND(B6*0.7,0)</f>
        <v/>
      </c>
      <c r="C17" s="8" t="n">
        <v>0.7</v>
      </c>
      <c r="D17" s="5">
        <f>B11*C17</f>
        <v/>
      </c>
      <c r="E17" s="5">
        <f>B10*C17</f>
        <v/>
      </c>
    </row>
    <row r="18">
      <c r="A18" s="7" t="inlineStr">
        <is>
          <t>Growth (20%)</t>
        </is>
      </c>
      <c r="B18" s="7">
        <f>ROUND(B6*0.2,0)</f>
        <v/>
      </c>
      <c r="C18" s="8" t="n">
        <v>0.2</v>
      </c>
      <c r="D18" s="5">
        <f>B11*C18</f>
        <v/>
      </c>
      <c r="E18" s="5">
        <f>B10*C18</f>
        <v/>
      </c>
    </row>
    <row r="19">
      <c r="A19" s="7" t="inlineStr">
        <is>
          <t>Testing (10%)</t>
        </is>
      </c>
      <c r="B19" s="7">
        <f>ROUND(B6*0.1,0)</f>
        <v/>
      </c>
      <c r="C19" s="8" t="n">
        <v>0.1</v>
      </c>
      <c r="D19" s="5">
        <f>B11*C19</f>
        <v/>
      </c>
      <c r="E19" s="5">
        <f>B10*C19</f>
        <v/>
      </c>
    </row>
    <row r="21">
      <c r="A21" s="2" t="inlineStr">
        <is>
          <t>PRODUCT-LEVEL BUDGET</t>
        </is>
      </c>
    </row>
    <row r="22">
      <c r="A22" s="6" t="inlineStr">
        <is>
          <t>Product</t>
        </is>
      </c>
      <c r="B22" s="6" t="inlineStr">
        <is>
          <t>Priority</t>
        </is>
      </c>
      <c r="C22" s="6" t="inlineStr">
        <is>
          <t>Monthly Budget</t>
        </is>
      </c>
      <c r="D22" s="6" t="inlineStr">
        <is>
          <t>Daily Budget</t>
        </is>
      </c>
      <c r="E22" s="6" t="inlineStr">
        <is>
          <t>ACoS Target</t>
        </is>
      </c>
      <c r="F22" s="6" t="inlineStr">
        <is>
          <t>Notes</t>
        </is>
      </c>
    </row>
    <row r="23">
      <c r="A23" s="7" t="inlineStr">
        <is>
          <t>Product 1</t>
        </is>
      </c>
      <c r="B23" s="4" t="inlineStr"/>
      <c r="C23" s="4" t="inlineStr"/>
      <c r="D23" s="4" t="inlineStr"/>
      <c r="E23" s="4" t="inlineStr"/>
      <c r="F23" s="4" t="inlineStr"/>
    </row>
    <row r="24">
      <c r="A24" s="7" t="inlineStr">
        <is>
          <t>Product 2</t>
        </is>
      </c>
      <c r="B24" s="4" t="inlineStr"/>
      <c r="C24" s="4" t="inlineStr"/>
      <c r="D24" s="4" t="inlineStr"/>
      <c r="E24" s="4" t="inlineStr"/>
      <c r="F24" s="4" t="inlineStr"/>
    </row>
    <row r="25">
      <c r="A25" s="7" t="inlineStr">
        <is>
          <t>Product 3</t>
        </is>
      </c>
      <c r="B25" s="4" t="inlineStr"/>
      <c r="C25" s="4" t="inlineStr"/>
      <c r="D25" s="4" t="inlineStr"/>
      <c r="E25" s="4" t="inlineStr"/>
      <c r="F25" s="4" t="inlineStr"/>
    </row>
    <row r="26">
      <c r="A26" s="7" t="inlineStr">
        <is>
          <t>Product 4</t>
        </is>
      </c>
      <c r="B26" s="4" t="inlineStr"/>
      <c r="C26" s="4" t="inlineStr"/>
      <c r="D26" s="4" t="inlineStr"/>
      <c r="E26" s="4" t="inlineStr"/>
      <c r="F26" s="4" t="inlineStr"/>
    </row>
    <row r="27">
      <c r="A27" s="7" t="inlineStr">
        <is>
          <t>Product 5</t>
        </is>
      </c>
      <c r="B27" s="4" t="inlineStr"/>
      <c r="C27" s="4" t="inlineStr"/>
      <c r="D27" s="4" t="inlineStr"/>
      <c r="E27" s="4" t="inlineStr"/>
      <c r="F27" s="4" t="inlineStr"/>
    </row>
    <row r="29">
      <c r="A29" s="2" t="inlineStr">
        <is>
          <t>SCALE SCENARIOS</t>
        </is>
      </c>
    </row>
    <row r="30">
      <c r="A30" s="3" t="inlineStr">
        <is>
          <t>If Revenue Increases 25%:</t>
        </is>
      </c>
      <c r="B30" s="5">
        <f>B4*1.25*B5</f>
        <v/>
      </c>
    </row>
    <row r="31">
      <c r="A31" s="3" t="inlineStr">
        <is>
          <t>If Revenue Increases 50%:</t>
        </is>
      </c>
      <c r="B31" s="5">
        <f>B4*1.50*B5</f>
        <v/>
      </c>
    </row>
    <row r="32">
      <c r="A32" s="3" t="inlineStr">
        <is>
          <t>If Revenue Increases 100%:</t>
        </is>
      </c>
      <c r="B32" s="5">
        <f>B4*2*B5</f>
        <v/>
      </c>
    </row>
  </sheetData>
  <mergeCells count="6">
    <mergeCell ref="A1:F1"/>
    <mergeCell ref="A9:F9"/>
    <mergeCell ref="A29:F29"/>
    <mergeCell ref="A3:F3"/>
    <mergeCell ref="A21:F2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2026-06-29T15:02:11Z</dcterms:created>
  <dcterms:modified xsi:type="dcterms:W3CDTF">2026-06-29T15:02:11Z</dcterms:modified>
</cp:coreProperties>
</file>