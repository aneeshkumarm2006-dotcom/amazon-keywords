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S ROAS Calculator" sheetId="1" state="visible" r:id="rId1"/>
    <sheet name="Multi-Sce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x"/>
    <numFmt numFmtId="166" formatCode="$#,##0.00"/>
    <numFmt numFmtId="167" formatCode="$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6B35"/>
      <sz val="12"/>
    </font>
    <font>
      <name val="Calibri"/>
      <b val="1"/>
      <color rgb="002C3E50"/>
      <sz val="11"/>
    </font>
    <font>
      <name val="Calibri"/>
      <b val="1"/>
      <color rgb="001A1A2E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5" customHeight="1">
      <c r="A1" s="1" t="inlineStr">
        <is>
          <t>ACoS / ROAS CALCULATOR</t>
        </is>
      </c>
    </row>
    <row r="3">
      <c r="A3" s="2" t="inlineStr">
        <is>
          <t>INPUTS</t>
        </is>
      </c>
    </row>
    <row r="4">
      <c r="A4" s="3" t="inlineStr">
        <is>
          <t>Ad Spend ($):</t>
        </is>
      </c>
      <c r="B4" s="4" t="n">
        <v>500</v>
      </c>
    </row>
    <row r="5">
      <c r="A5" s="3" t="inlineStr">
        <is>
          <t>Ad Revenue ($):</t>
        </is>
      </c>
      <c r="B5" s="4" t="n">
        <v>2000</v>
      </c>
    </row>
    <row r="6">
      <c r="A6" s="3" t="inlineStr">
        <is>
          <t>Product Price ($):</t>
        </is>
      </c>
      <c r="B6" s="4" t="n">
        <v>29.99</v>
      </c>
    </row>
    <row r="7">
      <c r="A7" s="3" t="inlineStr">
        <is>
          <t>Cost of Goods ($):</t>
        </is>
      </c>
      <c r="B7" s="4" t="n">
        <v>8</v>
      </c>
    </row>
    <row r="8">
      <c r="A8" s="3" t="inlineStr">
        <is>
          <t>FBA Fees ($):</t>
        </is>
      </c>
      <c r="B8" s="4" t="n">
        <v>5.5</v>
      </c>
    </row>
    <row r="9">
      <c r="A9" s="5" t="n"/>
    </row>
    <row r="10">
      <c r="A10" s="6" t="inlineStr">
        <is>
          <t>RESULTS</t>
        </is>
      </c>
    </row>
    <row r="11">
      <c r="A11" s="3" t="inlineStr">
        <is>
          <t>ACoS:</t>
        </is>
      </c>
      <c r="B11" s="7">
        <f>IF(B5&gt;0,B4/B5,0)</f>
        <v/>
      </c>
    </row>
    <row r="12">
      <c r="A12" s="3" t="inlineStr">
        <is>
          <t>ROAS:</t>
        </is>
      </c>
      <c r="B12" s="8">
        <f>IF(B4&gt;0,B5/B4,0)</f>
        <v/>
      </c>
    </row>
    <row r="13">
      <c r="A13" s="3" t="inlineStr">
        <is>
          <t>Profit Margin:</t>
        </is>
      </c>
      <c r="B13" s="7">
        <f>IF(B6&gt;0,(B6-B7-B8)/B6,0)</f>
        <v/>
      </c>
    </row>
    <row r="14">
      <c r="A14" s="3" t="inlineStr">
        <is>
          <t>Break-Even ACoS:</t>
        </is>
      </c>
      <c r="B14" s="7">
        <f>IF(B6&gt;0,(B6-B7-B8)/B6,0)</f>
        <v/>
      </c>
    </row>
    <row r="15">
      <c r="A15" s="3" t="inlineStr">
        <is>
          <t>Net Profit (After Ads):</t>
        </is>
      </c>
      <c r="B15" s="9">
        <f>B5-B4-(B7+B8)*(B5/B6)</f>
        <v/>
      </c>
    </row>
    <row r="16">
      <c r="A16" s="3" t="inlineStr">
        <is>
          <t>Profit per $1 Ad Spend:</t>
        </is>
      </c>
      <c r="B16" s="10">
        <f>IF(B4&gt;0,(B5-B4-(B7+B8)*(B5/B6))/B4,0)</f>
        <v/>
      </c>
    </row>
    <row r="17">
      <c r="A17" s="5" t="n"/>
    </row>
    <row r="18">
      <c r="A18" s="6" t="inlineStr">
        <is>
          <t>SCENARIO: What if I increase spend?</t>
        </is>
      </c>
    </row>
    <row r="19">
      <c r="A19" s="3" t="inlineStr">
        <is>
          <t>New Ad Spend ($):</t>
        </is>
      </c>
      <c r="B19" s="4" t="n">
        <v>750</v>
      </c>
    </row>
    <row r="20">
      <c r="A20" s="3" t="inlineStr">
        <is>
          <t>Expected Revenue Increase (%):</t>
        </is>
      </c>
      <c r="B20" s="4" t="n">
        <v>0.25</v>
      </c>
    </row>
    <row r="21">
      <c r="A21" s="3" t="inlineStr">
        <is>
          <t>Projected Revenue:</t>
        </is>
      </c>
      <c r="B21" s="9">
        <f>B5*(1+B20)</f>
        <v/>
      </c>
    </row>
    <row r="22">
      <c r="A22" s="3" t="inlineStr">
        <is>
          <t>Projected ACoS:</t>
        </is>
      </c>
      <c r="B22" s="7">
        <f>IF(B21&gt;0,B19/B21,0)</f>
        <v/>
      </c>
    </row>
    <row r="23">
      <c r="A23" s="3" t="inlineStr">
        <is>
          <t>Projected ROAS:</t>
        </is>
      </c>
      <c r="B23" s="8">
        <f>IF(B19&gt;0,B21/B19,0)</f>
        <v/>
      </c>
    </row>
    <row r="24">
      <c r="A24" s="3" t="inlineStr">
        <is>
          <t>Projected Net Profit:</t>
        </is>
      </c>
      <c r="B24" s="9">
        <f>B21-B19-(B7+B8)*(B21/B6)</f>
        <v/>
      </c>
    </row>
    <row r="25">
      <c r="A25" s="5" t="n"/>
    </row>
    <row r="26">
      <c r="A26" s="6" t="inlineStr">
        <is>
          <t>STATUS</t>
        </is>
      </c>
    </row>
    <row r="27">
      <c r="A27" s="3" t="inlineStr">
        <is>
          <t>Verdict:</t>
        </is>
      </c>
      <c r="B27" s="11">
        <f>IF(B11&lt;=B14,"Profitable - ACoS is below break-even",IF(B11&lt;=B14*1.2,"Warning - ACoS near break-even","Danger - ACoS above break-even"))</f>
        <v/>
      </c>
    </row>
  </sheetData>
  <mergeCells count="5">
    <mergeCell ref="A10:F10"/>
    <mergeCell ref="A1:F1"/>
    <mergeCell ref="A26:F26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>
      <c r="A1" s="1" t="inlineStr">
        <is>
          <t>MULTI-SCENARIO ACoS ANALYSIS</t>
        </is>
      </c>
    </row>
    <row r="3">
      <c r="A3" s="12" t="inlineStr">
        <is>
          <t>Scenario</t>
        </is>
      </c>
      <c r="B3" s="12" t="inlineStr">
        <is>
          <t>Ad Spend</t>
        </is>
      </c>
      <c r="C3" s="12" t="inlineStr">
        <is>
          <t>Ad Revenue</t>
        </is>
      </c>
      <c r="D3" s="12" t="inlineStr">
        <is>
          <t>ACoS</t>
        </is>
      </c>
      <c r="E3" s="12" t="inlineStr">
        <is>
          <t>ROAS</t>
        </is>
      </c>
      <c r="F3" s="12" t="inlineStr">
        <is>
          <t>Net Profit</t>
        </is>
      </c>
      <c r="G3" s="12" t="inlineStr">
        <is>
          <t>Verdict</t>
        </is>
      </c>
      <c r="H3" s="12" t="inlineStr"/>
      <c r="I3" s="12" t="inlineStr"/>
    </row>
    <row r="4">
      <c r="A4" s="13" t="inlineStr">
        <is>
          <t>Scenario 1</t>
        </is>
      </c>
      <c r="B4" s="4" t="inlineStr"/>
      <c r="C4" s="4" t="inlineStr"/>
      <c r="D4" s="14">
        <f>IF(C4&gt;0,B4/C4,0)</f>
        <v/>
      </c>
      <c r="E4" s="15">
        <f>IF(B4&gt;0,C4/B4,0)</f>
        <v/>
      </c>
      <c r="F4" s="4" t="inlineStr"/>
      <c r="G4" s="4" t="inlineStr"/>
    </row>
    <row r="5">
      <c r="A5" s="13" t="inlineStr">
        <is>
          <t>Scenario 2</t>
        </is>
      </c>
      <c r="B5" s="4" t="inlineStr"/>
      <c r="C5" s="4" t="inlineStr"/>
      <c r="D5" s="14">
        <f>IF(C5&gt;0,B5/C5,0)</f>
        <v/>
      </c>
      <c r="E5" s="15">
        <f>IF(B5&gt;0,C5/B5,0)</f>
        <v/>
      </c>
      <c r="F5" s="4" t="inlineStr"/>
      <c r="G5" s="4" t="inlineStr"/>
    </row>
    <row r="6">
      <c r="A6" s="13" t="inlineStr">
        <is>
          <t>Scenario 3</t>
        </is>
      </c>
      <c r="B6" s="4" t="inlineStr"/>
      <c r="C6" s="4" t="inlineStr"/>
      <c r="D6" s="14">
        <f>IF(C6&gt;0,B6/C6,0)</f>
        <v/>
      </c>
      <c r="E6" s="15">
        <f>IF(B6&gt;0,C6/B6,0)</f>
        <v/>
      </c>
      <c r="F6" s="4" t="inlineStr"/>
      <c r="G6" s="4" t="inlineStr"/>
    </row>
    <row r="7">
      <c r="A7" s="13" t="inlineStr">
        <is>
          <t>Scenario 4</t>
        </is>
      </c>
      <c r="B7" s="4" t="inlineStr"/>
      <c r="C7" s="4" t="inlineStr"/>
      <c r="D7" s="14">
        <f>IF(C7&gt;0,B7/C7,0)</f>
        <v/>
      </c>
      <c r="E7" s="15">
        <f>IF(B7&gt;0,C7/B7,0)</f>
        <v/>
      </c>
      <c r="F7" s="4" t="inlineStr"/>
      <c r="G7" s="4" t="inlineStr"/>
    </row>
    <row r="8">
      <c r="A8" s="13" t="inlineStr">
        <is>
          <t>Scenario 5</t>
        </is>
      </c>
      <c r="B8" s="4" t="inlineStr"/>
      <c r="C8" s="4" t="inlineStr"/>
      <c r="D8" s="14">
        <f>IF(C8&gt;0,B8/C8,0)</f>
        <v/>
      </c>
      <c r="E8" s="15">
        <f>IF(B8&gt;0,C8/B8,0)</f>
        <v/>
      </c>
      <c r="F8" s="4" t="inlineStr"/>
      <c r="G8" s="4" t="inlineStr"/>
    </row>
    <row r="9">
      <c r="A9" s="13" t="inlineStr">
        <is>
          <t>Scenario 6</t>
        </is>
      </c>
      <c r="B9" s="4" t="inlineStr"/>
      <c r="C9" s="4" t="inlineStr"/>
      <c r="D9" s="14">
        <f>IF(C9&gt;0,B9/C9,0)</f>
        <v/>
      </c>
      <c r="E9" s="15">
        <f>IF(B9&gt;0,C9/B9,0)</f>
        <v/>
      </c>
      <c r="F9" s="4" t="inlineStr"/>
      <c r="G9" s="4" t="inlineStr"/>
    </row>
    <row r="10">
      <c r="A10" s="13" t="inlineStr">
        <is>
          <t>Scenario 7</t>
        </is>
      </c>
      <c r="B10" s="4" t="inlineStr"/>
      <c r="C10" s="4" t="inlineStr"/>
      <c r="D10" s="14">
        <f>IF(C10&gt;0,B10/C10,0)</f>
        <v/>
      </c>
      <c r="E10" s="15">
        <f>IF(B10&gt;0,C10/B10,0)</f>
        <v/>
      </c>
      <c r="F10" s="4" t="inlineStr"/>
      <c r="G10" s="4" t="inlineStr"/>
    </row>
    <row r="11">
      <c r="A11" s="13" t="inlineStr">
        <is>
          <t>Scenario 8</t>
        </is>
      </c>
      <c r="B11" s="4" t="inlineStr"/>
      <c r="C11" s="4" t="inlineStr"/>
      <c r="D11" s="14">
        <f>IF(C11&gt;0,B11/C11,0)</f>
        <v/>
      </c>
      <c r="E11" s="15">
        <f>IF(B11&gt;0,C11/B11,0)</f>
        <v/>
      </c>
      <c r="F11" s="4" t="inlineStr"/>
      <c r="G11" s="4" t="inlineStr"/>
    </row>
    <row r="12">
      <c r="A12" s="13" t="inlineStr">
        <is>
          <t>Scenario 9</t>
        </is>
      </c>
      <c r="B12" s="4" t="inlineStr"/>
      <c r="C12" s="4" t="inlineStr"/>
      <c r="D12" s="14">
        <f>IF(C12&gt;0,B12/C12,0)</f>
        <v/>
      </c>
      <c r="E12" s="15">
        <f>IF(B12&gt;0,C12/B12,0)</f>
        <v/>
      </c>
      <c r="F12" s="4" t="inlineStr"/>
      <c r="G12" s="4" t="inlineStr"/>
    </row>
    <row r="13">
      <c r="A13" s="13" t="inlineStr">
        <is>
          <t>Scenario 10</t>
        </is>
      </c>
      <c r="B13" s="4" t="inlineStr"/>
      <c r="C13" s="4" t="inlineStr"/>
      <c r="D13" s="14">
        <f>IF(C13&gt;0,B13/C13,0)</f>
        <v/>
      </c>
      <c r="E13" s="15">
        <f>IF(B13&gt;0,C13/B13,0)</f>
        <v/>
      </c>
      <c r="F13" s="4" t="inlineStr"/>
      <c r="G13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2026-06-29T15:02:11Z</dcterms:created>
  <dcterms:modified xsi:type="dcterms:W3CDTF">2026-06-29T15:02:11Z</dcterms:modified>
</cp:coreProperties>
</file>